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Hovo\OneDrive\Desktop\minin app\"/>
    </mc:Choice>
  </mc:AlternateContent>
  <xr:revisionPtr revIDLastSave="0" documentId="13_ncr:1_{020749D8-00C3-48D2-B470-08B58B2C83B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🛍 Товары" sheetId="1" r:id="rId1"/>
    <sheet name="⚙️ Настройки" sheetId="2" r:id="rId2"/>
  </sheets>
  <definedNames>
    <definedName name="_xlnm._FilterDatabase" localSheetId="0" hidden="1">'🛍 Товары'!$A$1:$S$1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5" i="2" l="1"/>
  <c r="L2" i="1" s="1"/>
  <c r="M2" i="1" s="1"/>
  <c r="O2" i="1" l="1"/>
  <c r="R2" i="1" s="1"/>
  <c r="N2" i="1"/>
  <c r="P2" i="1" s="1"/>
  <c r="Q2" i="1" s="1"/>
  <c r="L3" i="1"/>
  <c r="M3" i="1" s="1"/>
  <c r="O3" i="1" l="1"/>
  <c r="R3" i="1" s="1"/>
  <c r="N3" i="1"/>
  <c r="S3" i="1" s="1"/>
  <c r="S2" i="1"/>
  <c r="P3" i="1" l="1"/>
  <c r="Q3" i="1" s="1"/>
</calcChain>
</file>

<file path=xl/sharedStrings.xml><?xml version="1.0" encoding="utf-8"?>
<sst xmlns="http://schemas.openxmlformats.org/spreadsheetml/2006/main" count="50" uniqueCount="46">
  <si>
    <t>URL товара</t>
  </si>
  <si>
    <t>Название</t>
  </si>
  <si>
    <t>Цена (€)</t>
  </si>
  <si>
    <t>Группа</t>
  </si>
  <si>
    <t>Подгруппа</t>
  </si>
  <si>
    <t>Категория товара</t>
  </si>
  <si>
    <t>URL фото</t>
  </si>
  <si>
    <t>Локальное фото</t>
  </si>
  <si>
    <t>Размеры</t>
  </si>
  <si>
    <t>Последнее обновление</t>
  </si>
  <si>
    <t>Статус</t>
  </si>
  <si>
    <t>Доставка (₽)</t>
  </si>
  <si>
    <t>Закупка (₽)</t>
  </si>
  <si>
    <t>Кэф Пети (%)</t>
  </si>
  <si>
    <t>Наш Кэф (%)</t>
  </si>
  <si>
    <t>Цена с дост. (₽)</t>
  </si>
  <si>
    <t>Цена без дост. (₽)</t>
  </si>
  <si>
    <t>Наша Маржа (₽)</t>
  </si>
  <si>
    <t>Маржа Пети (₽)</t>
  </si>
  <si>
    <t>https://www.tradeinn.com/smashinn/ru/bullpadel-%D1%80%D0%B0%D0%BA%D0%B5%D1%82%D0%BA%D0%B0-%D0%B4%D0%BB%D1%8F-%D0%BF%D0%B0%D0%B4%D0%B5%D0%BB%D1%8F-vertex-04-2025/141382757/p</t>
  </si>
  <si>
    <t>Bullpadel Vertex 04 2025</t>
  </si>
  <si>
    <t>Кроссовки</t>
  </si>
  <si>
    <t>https://www.tradeinn.com/f/14138/141382757/bullpadel-ракетка-для-паделя-vertex-04-2025.webp, https://www.tradeinn.com/f/14138/141382757_2/bullpadel-ракетка-для-паделя-vertex-04-2025.webp, https://www.tradeinn.com/f/14138/141382757_3/bullpadel-ракетка-для-паделя-vertex-04-2025.webp, https://www.tradeinn.com/f/14138/141382757_4/bullpadel-ракетка-для-паделя-vertex-04-2025.webp, https://www.tradeinn.com/f/14138/141382757_5/bullpadel-ракетка-для-паделя-vertex-04-2025.webp, https://www.tradeinn.com/f/14138/141382757_6/bullpadel-ракетка-для-паделя-vertex-04-2025.webp, https://www.tradeinn.com/f/14138/141382757_7/bullpadel-ракетка-для-паделя-vertex-04-2025.webp, https://www.tradeinn.com/f/14138/141382757_8/bullpadel-ракетка-для-паделя-vertex-04-2025.webp, https://www.tradeinn.com/f/14138/141382757_9/bullpadel-ракетка-для-паделя-vertex-04-2025.webp</t>
  </si>
  <si>
    <t>images\product_1_7607.webp</t>
  </si>
  <si>
    <t>2026-02-14 01:16</t>
  </si>
  <si>
    <t>✅ Обновлено</t>
  </si>
  <si>
    <t>https://www.tradeinn.com/volleyball/ru/asics-%D0%9E%D0%B1%D1%83%D0%B2%D1%8C-%D0%B4%D0%BB%D1%8F-%D0%B7%D0%B0%D0%BA%D1%80%D1%8B%D1%82%D1%8B%D1%85-%D0%BA%D0%BE%D1%80%D1%82%D0%BE%D0%B2-netburner-ballistic-ff-3/141608258/p</t>
  </si>
  <si>
    <t>Asics Netburner Ballistic FF 3</t>
  </si>
  <si>
    <t>Ракетка</t>
  </si>
  <si>
    <t>https://www.tradeinn.com/f/14160/141608258/asics-Обувь-для-закрытых-кортов-netburner-ballistic-ff-3.webp, https://www.tradeinn.com/f/14160/141608258_2/asics-Обувь-для-закрытых-кортов-netburner-ballistic-ff-3.webp, https://www.tradeinn.com/f/14160/141608258_3/asics-Обувь-для-закрытых-кортов-netburner-ballistic-ff-3.webp, https://www.tradeinn.com/f/14160/141608258_4/asics-Обувь-для-закрытых-кортов-netburner-ballistic-ff-3.webp, https://www.tradeinn.com/f/14160/141608258_5/asics-Обувь-для-закрытых-кортов-netburner-ballistic-ff-3.webp, https://www.tradeinn.com/f/14160/141608258_6/asics-Обувь-для-закрытых-кортов-netburner-ballistic-ff-3.webp, https://www.tradeinn.com/f/14160/141608258_7/asics-Обувь-для-закрытых-кортов-netburner-ballistic-ff-3.webp</t>
  </si>
  <si>
    <t>images\product_2_6666.webp</t>
  </si>
  <si>
    <t>40 1/2, 42, 42 1/2, 43 1/2, 44, 44 1/2, 45, 46</t>
  </si>
  <si>
    <t>⚙️ НАСТРОЙКИ РАСЧЕТОВ</t>
  </si>
  <si>
    <t>Курс EUR/RUB:</t>
  </si>
  <si>
    <t>Надбавка:</t>
  </si>
  <si>
    <t>Итоговый курс:</t>
  </si>
  <si>
    <t>📦 СТОИМОСТЬ ДОСТАВКИ (€)</t>
  </si>
  <si>
    <t>Категория</t>
  </si>
  <si>
    <t>Доставка (€)</t>
  </si>
  <si>
    <t>Очки</t>
  </si>
  <si>
    <t>Куртка</t>
  </si>
  <si>
    <t>Штаны</t>
  </si>
  <si>
    <t>Шлем</t>
  </si>
  <si>
    <t>Ботинки борд</t>
  </si>
  <si>
    <t>Термо</t>
  </si>
  <si>
    <t>Очки для снега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</si>
</sst>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6"/>
      <color rgb="FFFFFFFF"/>
      <name val="Calibri"/>
    </font>
    <font>
      <b/>
      <sz val="12"/>
      <name val="Calibri"/>
    </font>
    <font>
      <sz val="12"/>
      <name val="Calibri"/>
    </font>
    <font>
      <b/>
      <sz val="14"/>
      <name val="Calibri"/>
    </font>
    <font>
      <b/>
      <sz val="14"/>
      <color rgb="FFFFFFFF"/>
      <name val="Calibri"/>
    </font>
    <font>
      <b/>
      <sz val="11"/>
      <name val="Calibri"/>
    </font>
    <font>
      <sz val="11"/>
      <name val="Calibri"/>
    </font>
    <font>
      <sz val="9"/>
      <name val="Calibri"/>
    </font>
    <font>
      <sz val="10"/>
      <name val="Calibri"/>
    </font>
    <font>
      <b/>
      <sz val="12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00"/>
        <bgColor rgb="FFFFFF00"/>
      </patternFill>
    </fill>
    <fill>
      <patternFill patternType="solid">
        <fgColor rgb="FF90EE90"/>
        <bgColor rgb="FF90EE90"/>
      </patternFill>
    </fill>
    <fill>
      <patternFill patternType="solid">
        <fgColor rgb="FFD0D0D0"/>
        <bgColor rgb="FFD0D0D0"/>
      </patternFill>
    </fill>
    <fill>
      <patternFill patternType="solid">
        <fgColor rgb="FFFFA500"/>
        <bgColor rgb="FFFFA500"/>
      </patternFill>
    </fill>
    <fill>
      <patternFill patternType="solid">
        <fgColor rgb="FF90EE90"/>
        <bgColor rgb="FF90EE90"/>
      </patternFill>
    </fill>
    <fill>
      <patternFill patternType="solid">
        <fgColor rgb="FFF0F0F0"/>
        <bgColor rgb="FFF0F0F0"/>
      </patternFill>
    </fill>
    <fill>
      <patternFill patternType="solid">
        <fgColor rgb="FFE2EFDA"/>
        <bgColor rgb="FFE2EFDA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3" borderId="0" xfId="0" applyFont="1" applyFill="1"/>
    <xf numFmtId="0" fontId="5" fillId="4" borderId="0" xfId="0" applyFont="1" applyFill="1"/>
    <xf numFmtId="0" fontId="7" fillId="5" borderId="0" xfId="0" applyFont="1" applyFill="1"/>
    <xf numFmtId="0" fontId="0" fillId="0" borderId="2" xfId="0" applyBorder="1"/>
    <xf numFmtId="0" fontId="0" fillId="0" borderId="0" xfId="0"/>
    <xf numFmtId="0" fontId="8" fillId="0" borderId="3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 wrapText="1"/>
    </xf>
    <xf numFmtId="4" fontId="8" fillId="7" borderId="4" xfId="0" applyNumberFormat="1" applyFont="1" applyFill="1" applyBorder="1" applyAlignment="1">
      <alignment horizontal="center" vertical="center"/>
    </xf>
    <xf numFmtId="9" fontId="8" fillId="7" borderId="4" xfId="0" applyNumberFormat="1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left" vertical="center"/>
    </xf>
    <xf numFmtId="4" fontId="8" fillId="9" borderId="3" xfId="0" applyNumberFormat="1" applyFont="1" applyFill="1" applyBorder="1" applyAlignment="1">
      <alignment horizontal="center" vertical="center"/>
    </xf>
    <xf numFmtId="0" fontId="2" fillId="2" borderId="0" xfId="0" applyFont="1" applyFill="1"/>
    <xf numFmtId="0" fontId="0" fillId="0" borderId="0" xfId="0"/>
    <xf numFmtId="0" fontId="6" fillId="2" borderId="0" xfId="0" applyFon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"/>
  <sheetViews>
    <sheetView tabSelected="1" workbookViewId="0">
      <pane ySplit="1" topLeftCell="A2" activePane="bottomLeft" state="frozen"/>
      <selection pane="bottomLeft" activeCell="F11" sqref="F11"/>
    </sheetView>
  </sheetViews>
  <sheetFormatPr defaultRowHeight="15" x14ac:dyDescent="0.25"/>
  <cols>
    <col min="1" max="1" width="55" style="7" customWidth="1"/>
    <col min="2" max="2" width="35" style="7" customWidth="1"/>
    <col min="3" max="3" width="12" style="7" customWidth="1"/>
    <col min="4" max="5" width="18" style="7" customWidth="1"/>
    <col min="6" max="6" width="20" style="7" customWidth="1"/>
    <col min="7" max="7" width="45" style="7" customWidth="1"/>
    <col min="8" max="9" width="25" style="7" customWidth="1"/>
    <col min="10" max="10" width="22" style="7" customWidth="1"/>
    <col min="11" max="19" width="18" style="7" customWidth="1"/>
  </cols>
  <sheetData>
    <row r="1" spans="1:19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</row>
    <row r="2" spans="1:19" x14ac:dyDescent="0.25">
      <c r="A2" s="8" t="s">
        <v>19</v>
      </c>
      <c r="B2" s="15" t="s">
        <v>20</v>
      </c>
      <c r="C2" s="16">
        <v>176.99</v>
      </c>
      <c r="D2" s="8"/>
      <c r="E2" s="8"/>
      <c r="F2" s="8" t="s">
        <v>21</v>
      </c>
      <c r="G2" s="9" t="s">
        <v>22</v>
      </c>
      <c r="H2" s="8" t="s">
        <v>23</v>
      </c>
      <c r="I2" s="10"/>
      <c r="J2" s="11" t="s">
        <v>24</v>
      </c>
      <c r="K2" s="10" t="s">
        <v>25</v>
      </c>
      <c r="L2" s="13">
        <f>IFERROR(VLOOKUP(F2,'⚙️ Настройки'!$A$9:$B$17,2,FALSE)*'⚙️ Настройки'!$B$5,0)</f>
        <v>2561.2160034179688</v>
      </c>
      <c r="M2" s="13">
        <f>L2+(C2*'⚙️ Настройки'!$B$5)</f>
        <v>18750.845305023195</v>
      </c>
      <c r="N2" s="14">
        <f>IF(M2&lt;15000,10%,IF(M2&lt;=30000,9%,8%))</f>
        <v>0.09</v>
      </c>
      <c r="O2" s="14">
        <f>IF(M2&lt;10000,17%,IF(M2&lt;=20000,15%,IF(M2&lt;=30000,14%,13%)))</f>
        <v>0.15</v>
      </c>
      <c r="P2" s="13">
        <f>M2*(1+N2+O2)</f>
        <v>23251.048178228761</v>
      </c>
      <c r="Q2" s="13">
        <f>P2-L2</f>
        <v>20689.832174810792</v>
      </c>
      <c r="R2" s="13">
        <f>M2*O2</f>
        <v>2812.6267957534792</v>
      </c>
      <c r="S2" s="13">
        <f>M2*N2</f>
        <v>1687.5760774520875</v>
      </c>
    </row>
    <row r="3" spans="1:19" x14ac:dyDescent="0.25">
      <c r="A3" s="8" t="s">
        <v>26</v>
      </c>
      <c r="B3" s="15" t="s">
        <v>27</v>
      </c>
      <c r="C3" s="16">
        <v>78</v>
      </c>
      <c r="D3" s="8"/>
      <c r="E3" s="8"/>
      <c r="F3" s="8" t="s">
        <v>28</v>
      </c>
      <c r="G3" s="9" t="s">
        <v>29</v>
      </c>
      <c r="H3" s="8" t="s">
        <v>30</v>
      </c>
      <c r="I3" s="10" t="s">
        <v>31</v>
      </c>
      <c r="J3" s="11" t="s">
        <v>24</v>
      </c>
      <c r="K3" s="10" t="s">
        <v>25</v>
      </c>
      <c r="L3" s="13">
        <f>IFERROR(VLOOKUP(F3,'⚙️ Настройки'!$A$9:$B$17,2,FALSE)*'⚙️ Настройки'!$B$5,0)</f>
        <v>1555.0240020751953</v>
      </c>
      <c r="M3" s="13">
        <f>L3+(C3*'⚙️ Настройки'!$B$5)</f>
        <v>8689.8400115966797</v>
      </c>
      <c r="N3" s="14">
        <f>IF(M3&lt;15000,10%,IF(M3&lt;=30000,9%,8%))</f>
        <v>0.1</v>
      </c>
      <c r="O3" s="14">
        <f>IF(M3&lt;10000,17%,IF(M3&lt;=20000,15%,IF(M3&lt;=30000,14%,13%)))</f>
        <v>0.17</v>
      </c>
      <c r="P3" s="13">
        <f>M3*(1+N3+O3)</f>
        <v>11036.096814727784</v>
      </c>
      <c r="Q3" s="13">
        <f>P3-L3</f>
        <v>9481.0728126525883</v>
      </c>
      <c r="R3" s="13">
        <f>M3*O3</f>
        <v>1477.2728019714357</v>
      </c>
      <c r="S3" s="13">
        <f>M3*N3</f>
        <v>868.98400115966797</v>
      </c>
    </row>
  </sheetData>
  <autoFilter ref="A1:S1" xr:uid="{00000000-0009-0000-0000-000000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❌ Неверная категория" error="Выберите категорию из списка допустимых значений!" xr:uid="{00000000-0002-0000-0000-000000000000}">
          <x14:formula1>
            <xm:f>'⚙️ Настройки'!$A$9:$A$17</xm:f>
          </x14:formula1>
          <xm:sqref>F2:F3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workbookViewId="0">
      <selection activeCell="A38" sqref="A38"/>
    </sheetView>
  </sheetViews>
  <sheetFormatPr defaultRowHeight="15" x14ac:dyDescent="0.25"/>
  <cols>
    <col min="1" max="1" width="25" style="7" customWidth="1"/>
    <col min="2" max="2" width="20" style="7" customWidth="1"/>
    <col min="3" max="3" width="15" style="7" customWidth="1"/>
  </cols>
  <sheetData>
    <row r="1" spans="1:3" ht="21" customHeight="1" x14ac:dyDescent="0.35">
      <c r="A1" s="17" t="s">
        <v>32</v>
      </c>
      <c r="B1" s="18"/>
      <c r="C1" s="18"/>
    </row>
    <row r="3" spans="1:3" ht="15.75" customHeight="1" x14ac:dyDescent="0.25">
      <c r="A3" s="2" t="s">
        <v>33</v>
      </c>
      <c r="B3" s="3">
        <v>90.972000122070313</v>
      </c>
    </row>
    <row r="4" spans="1:3" ht="15.75" customHeight="1" x14ac:dyDescent="0.25">
      <c r="A4" s="2" t="s">
        <v>34</v>
      </c>
      <c r="B4" s="3">
        <v>0.5</v>
      </c>
    </row>
    <row r="5" spans="1:3" ht="18.75" customHeight="1" x14ac:dyDescent="0.3">
      <c r="A5" s="2" t="s">
        <v>35</v>
      </c>
      <c r="B5" s="4">
        <f>B3+B4</f>
        <v>91.472000122070313</v>
      </c>
    </row>
    <row r="7" spans="1:3" ht="18.75" customHeight="1" x14ac:dyDescent="0.3">
      <c r="A7" s="19" t="s">
        <v>36</v>
      </c>
      <c r="B7" s="18"/>
    </row>
    <row r="8" spans="1:3" x14ac:dyDescent="0.25">
      <c r="A8" s="5" t="s">
        <v>37</v>
      </c>
      <c r="B8" s="5" t="s">
        <v>38</v>
      </c>
    </row>
    <row r="9" spans="1:3" x14ac:dyDescent="0.25">
      <c r="A9" s="6" t="s">
        <v>39</v>
      </c>
      <c r="B9" s="6">
        <v>12</v>
      </c>
    </row>
    <row r="10" spans="1:3" x14ac:dyDescent="0.25">
      <c r="A10" s="6" t="s">
        <v>28</v>
      </c>
      <c r="B10" s="6">
        <v>17</v>
      </c>
    </row>
    <row r="11" spans="1:3" x14ac:dyDescent="0.25">
      <c r="A11" s="6" t="s">
        <v>21</v>
      </c>
      <c r="B11" s="6">
        <v>28</v>
      </c>
    </row>
    <row r="12" spans="1:3" x14ac:dyDescent="0.25">
      <c r="A12" s="6" t="s">
        <v>40</v>
      </c>
      <c r="B12" s="6">
        <v>17</v>
      </c>
    </row>
    <row r="13" spans="1:3" x14ac:dyDescent="0.25">
      <c r="A13" s="6" t="s">
        <v>41</v>
      </c>
      <c r="B13" s="6">
        <v>17</v>
      </c>
    </row>
    <row r="14" spans="1:3" x14ac:dyDescent="0.25">
      <c r="A14" s="6" t="s">
        <v>42</v>
      </c>
      <c r="B14" s="6">
        <v>28</v>
      </c>
    </row>
    <row r="15" spans="1:3" x14ac:dyDescent="0.25">
      <c r="A15" s="6" t="s">
        <v>43</v>
      </c>
      <c r="B15" s="6">
        <v>25</v>
      </c>
    </row>
    <row r="16" spans="1:3" x14ac:dyDescent="0.25">
      <c r="A16" s="6" t="s">
        <v>44</v>
      </c>
      <c r="B16" s="6">
        <v>17</v>
      </c>
    </row>
    <row r="17" spans="1:2" x14ac:dyDescent="0.25">
      <c r="A17" s="6" t="s">
        <v>45</v>
      </c>
      <c r="B17" s="6">
        <v>17</v>
      </c>
    </row>
  </sheetData>
  <mergeCells count="2">
    <mergeCell ref="A1:C1"/>
    <mergeCell ref="A7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🛍 Товары</vt:lpstr>
      <vt:lpstr>⚙️ Настройки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Hovo</cp:lastModifiedBy>
  <dcterms:created xsi:type="dcterms:W3CDTF">2026-02-13T21:28:07Z</dcterms:created>
  <dcterms:modified xsi:type="dcterms:W3CDTF">2026-02-13T22:17:19Z</dcterms:modified>
</cp:coreProperties>
</file>